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han\Downloads\"/>
    </mc:Choice>
  </mc:AlternateContent>
  <bookViews>
    <workbookView xWindow="0" yWindow="0" windowWidth="22992" windowHeight="9024" activeTab="1"/>
  </bookViews>
  <sheets>
    <sheet name="Client Quotation" sheetId="1" r:id="rId1"/>
    <sheet name="Scope &amp; Exclusions" sheetId="3" r:id="rId2"/>
    <sheet name="Third Party Costs" sheetId="2" r:id="rId3"/>
    <sheet name="Pricing References" sheetId="4" r:id="rId4"/>
  </sheets>
  <calcPr calcId="162913"/>
</workbook>
</file>

<file path=xl/calcChain.xml><?xml version="1.0" encoding="utf-8"?>
<calcChain xmlns="http://schemas.openxmlformats.org/spreadsheetml/2006/main">
  <c r="E19" i="2" l="1"/>
  <c r="F18" i="2"/>
  <c r="F17" i="2"/>
  <c r="F16" i="2"/>
  <c r="F15" i="2"/>
  <c r="F14" i="2"/>
  <c r="F13" i="2"/>
  <c r="F12" i="2"/>
  <c r="F11" i="2"/>
  <c r="F10" i="2"/>
  <c r="F9" i="2"/>
  <c r="F19" i="2" s="1"/>
  <c r="E23" i="1"/>
</calcChain>
</file>

<file path=xl/sharedStrings.xml><?xml version="1.0" encoding="utf-8"?>
<sst xmlns="http://schemas.openxmlformats.org/spreadsheetml/2006/main" count="296" uniqueCount="224">
  <si>
    <t>AAUROSHE — E-COMMERCE WEBSITE QUOTATION</t>
  </si>
  <si>
    <t>Project</t>
  </si>
  <si>
    <t>End-to-end luxury e-commerce website</t>
  </si>
  <si>
    <t>Technology</t>
  </si>
  <si>
    <t>Next.js + TypeScript + PostgreSQL</t>
  </si>
  <si>
    <t>Admin</t>
  </si>
  <si>
    <t>Admin-controlled product/category/catalogue management</t>
  </si>
  <si>
    <t>Authentication</t>
  </si>
  <si>
    <t>Customer registration, login and account management</t>
  </si>
  <si>
    <t>Payments</t>
  </si>
  <si>
    <t>Virtual Try-On</t>
  </si>
  <si>
    <t>Not included in this quotation</t>
  </si>
  <si>
    <t>Development Fee</t>
  </si>
  <si>
    <t>₹10,000 one-time</t>
  </si>
  <si>
    <t>Third-party Costs</t>
  </si>
  <si>
    <t>Billed separately at actuals / applicable plan rates</t>
  </si>
  <si>
    <t>ONE-TIME DEVELOPMENT — ₹10,000</t>
  </si>
  <si>
    <t>#</t>
  </si>
  <si>
    <t>Module</t>
  </si>
  <si>
    <t>Included</t>
  </si>
  <si>
    <t>Cost (₹)</t>
  </si>
  <si>
    <t>Status</t>
  </si>
  <si>
    <t>Remarks</t>
  </si>
  <si>
    <t>Storefront</t>
  </si>
  <si>
    <t>Home, shop, category, product, cart, checkout pages</t>
  </si>
  <si>
    <t>Next.js + TypeScript</t>
  </si>
  <si>
    <t>Responsive/mobile-first</t>
  </si>
  <si>
    <t>Catalogue</t>
  </si>
  <si>
    <t>Categories, subcategories, products, variants, prices, images, stock</t>
  </si>
  <si>
    <t>PostgreSQL + Admin</t>
  </si>
  <si>
    <t>Admin can add future products</t>
  </si>
  <si>
    <t>Registration, login, logout, password/OTP flow, account</t>
  </si>
  <si>
    <t>Next.js Auth</t>
  </si>
  <si>
    <t>Provider to be finalized</t>
  </si>
  <si>
    <t>Cart &amp; Checkout</t>
  </si>
  <si>
    <t>Cart, address, coupon, order summary</t>
  </si>
  <si>
    <t>Next.js + API</t>
  </si>
  <si>
    <t>Shipping/tax rules supplied by client</t>
  </si>
  <si>
    <t>Payment Integration</t>
  </si>
  <si>
    <t>Payment initiation, verification, webhook/order update</t>
  </si>
  <si>
    <t>Gateway account/fees are client-side</t>
  </si>
  <si>
    <t>Admin Console</t>
  </si>
  <si>
    <t>Products, categories, inventory, orders, customers, banners</t>
  </si>
  <si>
    <t>Next.js Admin</t>
  </si>
  <si>
    <t>Designed for future catalogue expansion</t>
  </si>
  <si>
    <t>Deployment &amp; QA</t>
  </si>
  <si>
    <t>Production deployment, environment setup, basic testing</t>
  </si>
  <si>
    <t>Vercel + Railway</t>
  </si>
  <si>
    <t>Initial production setup</t>
  </si>
  <si>
    <t>Basic SEO &amp; Analytics</t>
  </si>
  <si>
    <t>Metadata, sitemap, analytics integration</t>
  </si>
  <si>
    <t>Next.js</t>
  </si>
  <si>
    <t>Content supplied by client</t>
  </si>
  <si>
    <t>TOTAL</t>
  </si>
  <si>
    <t>THIRD-PARTY INFRASTRUCTURE — MINIMUM PRODUCTION ESTIMATE</t>
  </si>
  <si>
    <t>Capacity target</t>
  </si>
  <si>
    <t>Approx. 100 concurrent active users for normal browsing/API activity. This is a planning target, not a guaranteed load-test result.</t>
  </si>
  <si>
    <t>USD/INR planning rate</t>
  </si>
  <si>
    <t>₹94.30 / USD (3 Sep 2026 reference)</t>
  </si>
  <si>
    <t>Important</t>
  </si>
  <si>
    <t>Cloud costs are usage-dependent. Payment gateway, SMS/WhatsApp and shipping charges are variable and not part of the fixed monthly infrastructure estimate.</t>
  </si>
  <si>
    <t>Service</t>
  </si>
  <si>
    <t>Provider</t>
  </si>
  <si>
    <t>Plan</t>
  </si>
  <si>
    <t>Configuration / Allowance</t>
  </si>
  <si>
    <t>USD/mo</t>
  </si>
  <si>
    <t>INR/mo</t>
  </si>
  <si>
    <t>Minimum / Fixed?</t>
  </si>
  <si>
    <t>100-user planning note</t>
  </si>
  <si>
    <t>Billing</t>
  </si>
  <si>
    <t>Source</t>
  </si>
  <si>
    <t>Website hosting + CDN</t>
  </si>
  <si>
    <t>Vercel</t>
  </si>
  <si>
    <t>Pro</t>
  </si>
  <si>
    <t>1 deploying seat; $20 usage credit; 1 TB transfer + 10M edge requests included</t>
  </si>
  <si>
    <t>Fixed minimum</t>
  </si>
  <si>
    <t>Suitable starting point; actual usage can consume credit/overage</t>
  </si>
  <si>
    <t>Monthly</t>
  </si>
  <si>
    <t>Vercel official pricing</t>
  </si>
  <si>
    <t>Backend API</t>
  </si>
  <si>
    <t>Railway</t>
  </si>
  <si>
    <t>Pro workspace</t>
  </si>
  <si>
    <t>1 vCPU + 0.5 GB RAM planning allocation; Railway resource pricing is usage based</t>
  </si>
  <si>
    <t>Usage; shared $20 credit</t>
  </si>
  <si>
    <t>Normal API load; scale CPU/RAM/replicas after monitoring</t>
  </si>
  <si>
    <t>Railway official pricing</t>
  </si>
  <si>
    <t>PostgreSQL</t>
  </si>
  <si>
    <t>Same Pro workspace</t>
  </si>
  <si>
    <t>1 vCPU + 0.5 GB RAM + small volume; resource pricing usage based</t>
  </si>
  <si>
    <t>Connection pooling recommended; scale DB separately when needed</t>
  </si>
  <si>
    <t>CDN / DNS / SSL</t>
  </si>
  <si>
    <t>Vercel / Cloudflare</t>
  </si>
  <si>
    <t>Vercel global CDN + HTTPS; Cloudflare Free optional for DNS/CDN</t>
  </si>
  <si>
    <t>Free</t>
  </si>
  <si>
    <t>No separate CDN bill required initially</t>
  </si>
  <si>
    <t>Image/object storage</t>
  </si>
  <si>
    <t>Cloudflare R2</t>
  </si>
  <si>
    <t>Free allowance</t>
  </si>
  <si>
    <t>10 GB-month; 1M Class A; 10M Class B; free internet egress</t>
  </si>
  <si>
    <t>Free initially</t>
  </si>
  <si>
    <t>Suitable for initial product images</t>
  </si>
  <si>
    <t>Cloudflare R2 official pricing</t>
  </si>
  <si>
    <t>Transactional email</t>
  </si>
  <si>
    <t>Resend</t>
  </si>
  <si>
    <t>3,000 emails/month; 100/day</t>
  </si>
  <si>
    <t>Suitable for early order/account emails</t>
  </si>
  <si>
    <t>Resend official pricing</t>
  </si>
  <si>
    <t>Payment gateway</t>
  </si>
  <si>
    <t>Razorpay / Cashfree</t>
  </si>
  <si>
    <t>Pay-as-you-go</t>
  </si>
  <si>
    <t>No fixed monthly infrastructure charge assumed</t>
  </si>
  <si>
    <t>Variable</t>
  </si>
  <si>
    <t>Cost depends on successful transaction volume</t>
  </si>
  <si>
    <t>Per transaction</t>
  </si>
  <si>
    <t>Razorpay official pricing</t>
  </si>
  <si>
    <t>Domain</t>
  </si>
  <si>
    <t>Registrar</t>
  </si>
  <si>
    <t>.com / .in</t>
  </si>
  <si>
    <t>1 domain</t>
  </si>
  <si>
    <t>Annual variable</t>
  </si>
  <si>
    <t>Budget approximately ₹800–₹1,500/year; registrar dependent</t>
  </si>
  <si>
    <t>Annual</t>
  </si>
  <si>
    <t>Registrar dependent</t>
  </si>
  <si>
    <t>SMS / OTP</t>
  </si>
  <si>
    <t>Provider to be selected</t>
  </si>
  <si>
    <t>Usage dependent</t>
  </si>
  <si>
    <t>Can be avoided/limited by using email authentication initially</t>
  </si>
  <si>
    <t>Per SMS</t>
  </si>
  <si>
    <t>Provider dependent</t>
  </si>
  <si>
    <t>WhatsApp notifications</t>
  </si>
  <si>
    <t>Usage/template dependent</t>
  </si>
  <si>
    <t>Optional; not required for launch</t>
  </si>
  <si>
    <t>Per message</t>
  </si>
  <si>
    <t>ESTIMATED FIXED/PLANNING MONTHLY TOTAL</t>
  </si>
  <si>
    <t>COST SCENARIOS</t>
  </si>
  <si>
    <t>Scenario</t>
  </si>
  <si>
    <t>Railway Backend</t>
  </si>
  <si>
    <t>Railway DB</t>
  </si>
  <si>
    <t>Approx. monthly</t>
  </si>
  <si>
    <t>When to use</t>
  </si>
  <si>
    <t>Minimum launch</t>
  </si>
  <si>
    <t>$20</t>
  </si>
  <si>
    <t>~$15</t>
  </si>
  <si>
    <t>≈₹4,715</t>
  </si>
  <si>
    <t>Low-traffic commercial launch; monitor usage</t>
  </si>
  <si>
    <t>Lean alternative</t>
  </si>
  <si>
    <t>Hobby $5+</t>
  </si>
  <si>
    <t>Included in same Railway workspace usage</t>
  </si>
  <si>
    <t>≈₹2,358+</t>
  </si>
  <si>
    <t>Cheaper, but Railway Hobby is positioned for hobby/side projects</t>
  </si>
  <si>
    <t>Scale-up</t>
  </si>
  <si>
    <t>Usage-based</t>
  </si>
  <si>
    <t>Scale CPU/RAM/replicas</t>
  </si>
  <si>
    <t>Scale CPU/RAM/storage</t>
  </si>
  <si>
    <t>When traffic or DB load grows</t>
  </si>
  <si>
    <t>SCOPE, ASSUMPTIONS &amp; EXCLUSIONS</t>
  </si>
  <si>
    <t>Type</t>
  </si>
  <si>
    <t>Item</t>
  </si>
  <si>
    <t>Included?</t>
  </si>
  <si>
    <t>Owner</t>
  </si>
  <si>
    <t>Details</t>
  </si>
  <si>
    <t>Admin catalogue</t>
  </si>
  <si>
    <t>YES</t>
  </si>
  <si>
    <t>Developer</t>
  </si>
  <si>
    <t>Admin can add/edit/delete categories, subcategories, products, variants, prices, stock and images.</t>
  </si>
  <si>
    <t>Initial catalogue</t>
  </si>
  <si>
    <t>Client supplies data</t>
  </si>
  <si>
    <t>Perfumes, jewellery, handbags, nail paints, clothes, sunglasses, belts, skincare, makeup and pouches based on the initial requirements.</t>
  </si>
  <si>
    <t>Customer login/account functionality.</t>
  </si>
  <si>
    <t>Payment</t>
  </si>
  <si>
    <t>Developer + client gateway account</t>
  </si>
  <si>
    <t>One payment gateway integration; gateway account/KYC is client's responsibility.</t>
  </si>
  <si>
    <t>Order management</t>
  </si>
  <si>
    <t>Order creation, status and admin management.</t>
  </si>
  <si>
    <t>Excluded</t>
  </si>
  <si>
    <t>NO</t>
  </si>
  <si>
    <t>Separate quote</t>
  </si>
  <si>
    <t>GPT Image/fal.ai or other AI image-generation feature excluded.</t>
  </si>
  <si>
    <t>Native mobile app</t>
  </si>
  <si>
    <t>Android/iOS apps not included.</t>
  </si>
  <si>
    <t>ERP/CRM</t>
  </si>
  <si>
    <t>External ERP, accounting, warehouse or CRM integrations are additional.</t>
  </si>
  <si>
    <t>AI tool subscriptions</t>
  </si>
  <si>
    <t>Actuals</t>
  </si>
  <si>
    <t>ChatGPT/Cursor/Copilot/etc. used during development are not infrastructure costs.</t>
  </si>
  <si>
    <t>Client</t>
  </si>
  <si>
    <t>Transaction charges apply to successful payments.</t>
  </si>
  <si>
    <t>SMS/OTP</t>
  </si>
  <si>
    <t>Depends on selected provider and message volume.</t>
  </si>
  <si>
    <t>WhatsApp</t>
  </si>
  <si>
    <t>Optional and usage/template dependent.</t>
  </si>
  <si>
    <t>Client input</t>
  </si>
  <si>
    <t>Product content</t>
  </si>
  <si>
    <t>Names, prices, descriptions, sizes, fragrance notes, product photos and policies are supplied by client.</t>
  </si>
  <si>
    <t>Legal content</t>
  </si>
  <si>
    <t>Client/legal</t>
  </si>
  <si>
    <t>Privacy Policy and Shipping &amp; Returns text to be supplied by brand/legal source.</t>
  </si>
  <si>
    <t>CURRENT PRICING REFERENCES — 3 SEP 2026</t>
  </si>
  <si>
    <t>Pricing used</t>
  </si>
  <si>
    <t>Reference</t>
  </si>
  <si>
    <t>Notes</t>
  </si>
  <si>
    <t>Pro $20/month; $20 included usage credit; 1 TB transfer and 10M edge requests included</t>
  </si>
  <si>
    <t>https://vercel.com/pricing</t>
  </si>
  <si>
    <t>Pro is intended for professional/business use.</t>
  </si>
  <si>
    <t>Hobby $5 minimum; Pro $20 minimum; CPU $20/vCPU-month; RAM $10/GB-month; volume $0.15/GB-month</t>
  </si>
  <si>
    <t>https://docs.railway.com/pricing</t>
  </si>
  <si>
    <t>Subscription includes usage credit; usage is billed by actual resources.</t>
  </si>
  <si>
    <t>10 GB-month + 1M Class A + 10M Class B free; $0 egress</t>
  </si>
  <si>
    <t>https://developers.cloudflare.com/r2/pricing/</t>
  </si>
  <si>
    <t>Standard storage.</t>
  </si>
  <si>
    <t>Free 3,000 emails/month and 100/day</t>
  </si>
  <si>
    <t>https://resend.com/pricing/</t>
  </si>
  <si>
    <t>Enough for early transactional email.</t>
  </si>
  <si>
    <t>Razorpay</t>
  </si>
  <si>
    <t>2% + GST standard processing; no setup fee/AMC</t>
  </si>
  <si>
    <t>https://razorpay.com/pricing/</t>
  </si>
  <si>
    <t>Actual terms may vary by account/instrument.</t>
  </si>
  <si>
    <t>USD/INR</t>
  </si>
  <si>
    <t>₹94.30 per USD reference</t>
  </si>
  <si>
    <t>Current market reference</t>
  </si>
  <si>
    <t>Used only for planning; card/bank conversion may differ.</t>
  </si>
  <si>
    <t xml:space="preserve">Cyber Security &amp; Application Security </t>
  </si>
  <si>
    <t>Implementation of basic security measures including HTTPS/SSL, secure authentication, role-based admin access, API rate limiting, input validation, secure handling of credentials/API keys, security headers, payment webhook verification, and basic production security hardening.</t>
  </si>
  <si>
    <t>Payment gateway integration Razorpay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</si>
</sst>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₹#,##0"/>
    <numFmt numFmtId="165" formatCode="\$#,##0.00"/>
  </numFmts>
  <fonts count="5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name val="Calibri"/>
    </font>
    <font>
      <b/>
      <sz val="14"/>
      <color rgb="FFFFFFFF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3F4F6"/>
      </patternFill>
    </fill>
    <fill>
      <patternFill patternType="solid">
        <fgColor rgb="FFB08D57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/>
    <xf numFmtId="0" fontId="0" fillId="0" borderId="1" xfId="0" applyBorder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2" fillId="5" borderId="1" xfId="0" applyFont="1" applyFill="1" applyBorder="1"/>
    <xf numFmtId="164" fontId="2" fillId="5" borderId="1" xfId="0" applyNumberFormat="1" applyFont="1" applyFill="1" applyBorder="1"/>
    <xf numFmtId="0" fontId="0" fillId="5" borderId="0" xfId="0" applyFill="1"/>
    <xf numFmtId="165" fontId="0" fillId="0" borderId="1" xfId="0" applyNumberFormat="1" applyBorder="1" applyAlignment="1">
      <alignment vertical="top" wrapText="1"/>
    </xf>
    <xf numFmtId="165" fontId="2" fillId="5" borderId="1" xfId="0" applyNumberFormat="1" applyFont="1" applyFill="1" applyBorder="1"/>
    <xf numFmtId="0" fontId="4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0" borderId="0" xfId="0"/>
    <xf numFmtId="0" fontId="3" fillId="4" borderId="1" xfId="0" applyFont="1" applyFill="1" applyBorder="1"/>
    <xf numFmtId="0" fontId="1" fillId="2" borderId="1" xfId="0" applyFont="1" applyFill="1" applyBorder="1"/>
    <xf numFmtId="0" fontId="0" fillId="0" borderId="0" xfId="0" applyFont="1" applyAlignment="1">
      <alignment wrapText="1"/>
    </xf>
    <xf numFmtId="0" fontId="2" fillId="3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DevelopmentScope" displayName="DevelopmentScope" ref="A14:G22">
  <autoFilter ref="A14:G22"/>
  <tableColumns count="7">
    <tableColumn id="1" name="#"/>
    <tableColumn id="2" name="Module"/>
    <tableColumn id="3" name="Included"/>
    <tableColumn id="4" name="Technology"/>
    <tableColumn id="5" name="Cost (₹)"/>
    <tableColumn id="6" name="Status"/>
    <tableColumn id="7" name="Re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hirdPartyCosts" displayName="ThirdPartyCosts" ref="A8:J18">
  <autoFilter ref="A8:J18"/>
  <tableColumns count="10">
    <tableColumn id="1" name="Service"/>
    <tableColumn id="2" name="Provider"/>
    <tableColumn id="3" name="Plan"/>
    <tableColumn id="4" name="Configuration / Allowance"/>
    <tableColumn id="5" name="USD/mo"/>
    <tableColumn id="6" name="INR/mo"/>
    <tableColumn id="7" name="Minimum / Fixed?"/>
    <tableColumn id="8" name="100-user planning note"/>
    <tableColumn id="9" name="Billing"/>
    <tableColumn id="10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showGridLines="0" workbookViewId="0">
      <pane ySplit="3" topLeftCell="A12" activePane="bottomLeft" state="frozen"/>
      <selection pane="bottomLeft" activeCell="C26" sqref="C26"/>
    </sheetView>
  </sheetViews>
  <sheetFormatPr defaultRowHeight="14.4" x14ac:dyDescent="0.3"/>
  <cols>
    <col min="1" max="1" width="15.77734375" bestFit="1" customWidth="1"/>
    <col min="2" max="2" width="25" customWidth="1"/>
    <col min="3" max="3" width="50" customWidth="1"/>
    <col min="4" max="4" width="26" customWidth="1"/>
    <col min="5" max="5" width="14" customWidth="1"/>
    <col min="6" max="6" width="16" customWidth="1"/>
    <col min="7" max="7" width="20" customWidth="1"/>
  </cols>
  <sheetData>
    <row r="1" spans="1:7" ht="31.95" customHeight="1" x14ac:dyDescent="0.3">
      <c r="A1" s="12" t="s">
        <v>0</v>
      </c>
      <c r="B1" s="13"/>
      <c r="C1" s="13"/>
      <c r="D1" s="13"/>
      <c r="E1" s="13"/>
      <c r="F1" s="13"/>
      <c r="G1" s="13"/>
    </row>
    <row r="3" spans="1:7" ht="28.8" x14ac:dyDescent="0.3">
      <c r="A3" s="1" t="s">
        <v>1</v>
      </c>
      <c r="B3" s="2" t="s">
        <v>2</v>
      </c>
    </row>
    <row r="4" spans="1:7" ht="28.8" x14ac:dyDescent="0.3">
      <c r="A4" s="1" t="s">
        <v>3</v>
      </c>
      <c r="B4" s="2" t="s">
        <v>4</v>
      </c>
    </row>
    <row r="5" spans="1:7" ht="43.2" x14ac:dyDescent="0.3">
      <c r="A5" s="1" t="s">
        <v>5</v>
      </c>
      <c r="B5" s="2" t="s">
        <v>6</v>
      </c>
    </row>
    <row r="6" spans="1:7" ht="28.8" x14ac:dyDescent="0.3">
      <c r="A6" s="1" t="s">
        <v>7</v>
      </c>
      <c r="B6" s="2" t="s">
        <v>8</v>
      </c>
    </row>
    <row r="7" spans="1:7" ht="28.8" x14ac:dyDescent="0.3">
      <c r="A7" s="1" t="s">
        <v>9</v>
      </c>
      <c r="B7" s="2" t="s">
        <v>223</v>
      </c>
    </row>
    <row r="8" spans="1:7" ht="28.8" x14ac:dyDescent="0.3">
      <c r="A8" s="1" t="s">
        <v>10</v>
      </c>
      <c r="B8" s="2" t="s">
        <v>11</v>
      </c>
    </row>
    <row r="9" spans="1:7" x14ac:dyDescent="0.3">
      <c r="A9" s="1" t="s">
        <v>12</v>
      </c>
      <c r="B9" s="2" t="s">
        <v>13</v>
      </c>
    </row>
    <row r="10" spans="1:7" ht="28.8" x14ac:dyDescent="0.3">
      <c r="A10" s="1" t="s">
        <v>14</v>
      </c>
      <c r="B10" s="2" t="s">
        <v>15</v>
      </c>
    </row>
    <row r="11" spans="1:7" ht="172.8" x14ac:dyDescent="0.3">
      <c r="A11" s="17" t="s">
        <v>221</v>
      </c>
      <c r="B11" s="16" t="s">
        <v>222</v>
      </c>
    </row>
    <row r="13" spans="1:7" ht="18" x14ac:dyDescent="0.35">
      <c r="A13" s="14" t="s">
        <v>16</v>
      </c>
      <c r="B13" s="13"/>
      <c r="C13" s="13"/>
      <c r="D13" s="13"/>
      <c r="E13" s="13"/>
      <c r="F13" s="13"/>
      <c r="G13" s="13"/>
    </row>
    <row r="14" spans="1:7" x14ac:dyDescent="0.3">
      <c r="A14" s="3" t="s">
        <v>17</v>
      </c>
      <c r="B14" s="3" t="s">
        <v>18</v>
      </c>
      <c r="C14" s="3" t="s">
        <v>19</v>
      </c>
      <c r="D14" s="3" t="s">
        <v>3</v>
      </c>
      <c r="E14" s="3" t="s">
        <v>20</v>
      </c>
      <c r="F14" s="3" t="s">
        <v>21</v>
      </c>
      <c r="G14" s="3" t="s">
        <v>22</v>
      </c>
    </row>
    <row r="15" spans="1:7" ht="28.8" x14ac:dyDescent="0.3">
      <c r="A15" s="4">
        <v>1</v>
      </c>
      <c r="B15" s="4" t="s">
        <v>23</v>
      </c>
      <c r="C15" s="4" t="s">
        <v>24</v>
      </c>
      <c r="D15" s="4" t="s">
        <v>25</v>
      </c>
      <c r="E15" s="5">
        <v>2500</v>
      </c>
      <c r="F15" s="4" t="s">
        <v>19</v>
      </c>
      <c r="G15" s="4" t="s">
        <v>26</v>
      </c>
    </row>
    <row r="16" spans="1:7" ht="28.8" x14ac:dyDescent="0.3">
      <c r="A16" s="4">
        <v>2</v>
      </c>
      <c r="B16" s="4" t="s">
        <v>27</v>
      </c>
      <c r="C16" s="4" t="s">
        <v>28</v>
      </c>
      <c r="D16" s="4" t="s">
        <v>29</v>
      </c>
      <c r="E16" s="5">
        <v>1500</v>
      </c>
      <c r="F16" s="4" t="s">
        <v>19</v>
      </c>
      <c r="G16" s="4" t="s">
        <v>30</v>
      </c>
    </row>
    <row r="17" spans="1:7" x14ac:dyDescent="0.3">
      <c r="A17" s="4">
        <v>3</v>
      </c>
      <c r="B17" s="4" t="s">
        <v>7</v>
      </c>
      <c r="C17" s="4" t="s">
        <v>31</v>
      </c>
      <c r="D17" s="4" t="s">
        <v>32</v>
      </c>
      <c r="E17" s="5">
        <v>1000</v>
      </c>
      <c r="F17" s="4" t="s">
        <v>19</v>
      </c>
      <c r="G17" s="4" t="s">
        <v>33</v>
      </c>
    </row>
    <row r="18" spans="1:7" ht="28.8" x14ac:dyDescent="0.3">
      <c r="A18" s="4">
        <v>4</v>
      </c>
      <c r="B18" s="4" t="s">
        <v>34</v>
      </c>
      <c r="C18" s="4" t="s">
        <v>35</v>
      </c>
      <c r="D18" s="4" t="s">
        <v>36</v>
      </c>
      <c r="E18" s="5">
        <v>1000</v>
      </c>
      <c r="F18" s="4" t="s">
        <v>19</v>
      </c>
      <c r="G18" s="4" t="s">
        <v>37</v>
      </c>
    </row>
    <row r="19" spans="1:7" ht="28.8" x14ac:dyDescent="0.3">
      <c r="A19" s="4">
        <v>5</v>
      </c>
      <c r="B19" s="4" t="s">
        <v>38</v>
      </c>
      <c r="C19" s="4" t="s">
        <v>39</v>
      </c>
      <c r="D19" s="4" t="s">
        <v>213</v>
      </c>
      <c r="E19" s="5">
        <v>1000</v>
      </c>
      <c r="F19" s="4" t="s">
        <v>19</v>
      </c>
      <c r="G19" s="4" t="s">
        <v>40</v>
      </c>
    </row>
    <row r="20" spans="1:7" ht="28.8" x14ac:dyDescent="0.3">
      <c r="A20" s="4">
        <v>6</v>
      </c>
      <c r="B20" s="4" t="s">
        <v>41</v>
      </c>
      <c r="C20" s="4" t="s">
        <v>42</v>
      </c>
      <c r="D20" s="4" t="s">
        <v>43</v>
      </c>
      <c r="E20" s="5">
        <v>1500</v>
      </c>
      <c r="F20" s="4" t="s">
        <v>19</v>
      </c>
      <c r="G20" s="4" t="s">
        <v>44</v>
      </c>
    </row>
    <row r="21" spans="1:7" x14ac:dyDescent="0.3">
      <c r="A21" s="4">
        <v>7</v>
      </c>
      <c r="B21" s="4" t="s">
        <v>45</v>
      </c>
      <c r="C21" s="4" t="s">
        <v>46</v>
      </c>
      <c r="D21" s="4" t="s">
        <v>47</v>
      </c>
      <c r="E21" s="5">
        <v>1000</v>
      </c>
      <c r="F21" s="4" t="s">
        <v>19</v>
      </c>
      <c r="G21" s="4" t="s">
        <v>48</v>
      </c>
    </row>
    <row r="22" spans="1:7" ht="28.8" x14ac:dyDescent="0.3">
      <c r="A22" s="4">
        <v>8</v>
      </c>
      <c r="B22" s="4" t="s">
        <v>49</v>
      </c>
      <c r="C22" s="4" t="s">
        <v>50</v>
      </c>
      <c r="D22" s="4" t="s">
        <v>51</v>
      </c>
      <c r="E22" s="5">
        <v>500</v>
      </c>
      <c r="F22" s="4" t="s">
        <v>19</v>
      </c>
      <c r="G22" s="4" t="s">
        <v>52</v>
      </c>
    </row>
    <row r="23" spans="1:7" x14ac:dyDescent="0.3">
      <c r="D23" s="6" t="s">
        <v>53</v>
      </c>
      <c r="E23" s="7">
        <f>SUM(E15:E22)</f>
        <v>10000</v>
      </c>
      <c r="F23" s="8"/>
      <c r="G23" s="8"/>
    </row>
  </sheetData>
  <mergeCells count="2">
    <mergeCell ref="A1:G1"/>
    <mergeCell ref="A13:G13"/>
  </mergeCells>
  <pageMargins left="0.75" right="0.75" top="1" bottom="1" header="0.5" footer="0.5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showGridLines="0" tabSelected="1" workbookViewId="0">
      <pane ySplit="3" topLeftCell="A4" activePane="bottomLeft" state="frozen"/>
      <selection pane="bottomLeft" sqref="A1:E1"/>
    </sheetView>
  </sheetViews>
  <sheetFormatPr defaultRowHeight="14.4" x14ac:dyDescent="0.3"/>
  <cols>
    <col min="1" max="1" width="18" customWidth="1"/>
    <col min="2" max="2" width="28" customWidth="1"/>
    <col min="3" max="3" width="15" customWidth="1"/>
    <col min="4" max="4" width="22" customWidth="1"/>
    <col min="5" max="5" width="70" customWidth="1"/>
  </cols>
  <sheetData>
    <row r="1" spans="1:5" ht="23.4" x14ac:dyDescent="0.45">
      <c r="A1" s="15" t="s">
        <v>155</v>
      </c>
      <c r="B1" s="13"/>
      <c r="C1" s="13"/>
      <c r="D1" s="13"/>
      <c r="E1" s="13"/>
    </row>
    <row r="3" spans="1:5" x14ac:dyDescent="0.3">
      <c r="A3" s="11" t="s">
        <v>156</v>
      </c>
      <c r="B3" s="11" t="s">
        <v>157</v>
      </c>
      <c r="C3" s="11" t="s">
        <v>158</v>
      </c>
      <c r="D3" s="11" t="s">
        <v>159</v>
      </c>
      <c r="E3" s="11" t="s">
        <v>160</v>
      </c>
    </row>
    <row r="4" spans="1:5" ht="28.8" x14ac:dyDescent="0.3">
      <c r="A4" s="4" t="s">
        <v>19</v>
      </c>
      <c r="B4" s="4" t="s">
        <v>161</v>
      </c>
      <c r="C4" s="4" t="s">
        <v>162</v>
      </c>
      <c r="D4" s="4" t="s">
        <v>163</v>
      </c>
      <c r="E4" s="4" t="s">
        <v>164</v>
      </c>
    </row>
    <row r="5" spans="1:5" ht="28.8" x14ac:dyDescent="0.3">
      <c r="A5" s="4" t="s">
        <v>19</v>
      </c>
      <c r="B5" s="4" t="s">
        <v>165</v>
      </c>
      <c r="C5" s="4" t="s">
        <v>162</v>
      </c>
      <c r="D5" s="4" t="s">
        <v>166</v>
      </c>
      <c r="E5" s="4" t="s">
        <v>167</v>
      </c>
    </row>
    <row r="6" spans="1:5" x14ac:dyDescent="0.3">
      <c r="A6" s="4" t="s">
        <v>19</v>
      </c>
      <c r="B6" s="4" t="s">
        <v>7</v>
      </c>
      <c r="C6" s="4" t="s">
        <v>162</v>
      </c>
      <c r="D6" s="4" t="s">
        <v>163</v>
      </c>
      <c r="E6" s="4" t="s">
        <v>168</v>
      </c>
    </row>
    <row r="7" spans="1:5" ht="28.8" x14ac:dyDescent="0.3">
      <c r="A7" s="4" t="s">
        <v>19</v>
      </c>
      <c r="B7" s="4" t="s">
        <v>169</v>
      </c>
      <c r="C7" s="4" t="s">
        <v>162</v>
      </c>
      <c r="D7" s="4" t="s">
        <v>170</v>
      </c>
      <c r="E7" s="4" t="s">
        <v>171</v>
      </c>
    </row>
    <row r="8" spans="1:5" x14ac:dyDescent="0.3">
      <c r="A8" s="4" t="s">
        <v>19</v>
      </c>
      <c r="B8" s="4" t="s">
        <v>172</v>
      </c>
      <c r="C8" s="4" t="s">
        <v>162</v>
      </c>
      <c r="D8" s="4" t="s">
        <v>163</v>
      </c>
      <c r="E8" s="4" t="s">
        <v>173</v>
      </c>
    </row>
    <row r="9" spans="1:5" x14ac:dyDescent="0.3">
      <c r="A9" s="4" t="s">
        <v>174</v>
      </c>
      <c r="B9" s="4" t="s">
        <v>10</v>
      </c>
      <c r="C9" s="4" t="s">
        <v>175</v>
      </c>
      <c r="D9" s="4" t="s">
        <v>176</v>
      </c>
      <c r="E9" s="4" t="s">
        <v>177</v>
      </c>
    </row>
    <row r="10" spans="1:5" x14ac:dyDescent="0.3">
      <c r="A10" s="4" t="s">
        <v>174</v>
      </c>
      <c r="B10" s="4" t="s">
        <v>178</v>
      </c>
      <c r="C10" s="4" t="s">
        <v>175</v>
      </c>
      <c r="D10" s="4" t="s">
        <v>176</v>
      </c>
      <c r="E10" s="4" t="s">
        <v>179</v>
      </c>
    </row>
    <row r="11" spans="1:5" x14ac:dyDescent="0.3">
      <c r="A11" s="4" t="s">
        <v>174</v>
      </c>
      <c r="B11" s="4" t="s">
        <v>180</v>
      </c>
      <c r="C11" s="4" t="s">
        <v>175</v>
      </c>
      <c r="D11" s="4" t="s">
        <v>176</v>
      </c>
      <c r="E11" s="4" t="s">
        <v>181</v>
      </c>
    </row>
    <row r="12" spans="1:5" ht="28.8" x14ac:dyDescent="0.3">
      <c r="A12" s="4" t="s">
        <v>174</v>
      </c>
      <c r="B12" s="4" t="s">
        <v>182</v>
      </c>
      <c r="C12" s="4" t="s">
        <v>175</v>
      </c>
      <c r="D12" s="4" t="s">
        <v>183</v>
      </c>
      <c r="E12" s="4" t="s">
        <v>184</v>
      </c>
    </row>
    <row r="13" spans="1:5" x14ac:dyDescent="0.3">
      <c r="A13" s="4" t="s">
        <v>111</v>
      </c>
      <c r="B13" s="4" t="s">
        <v>107</v>
      </c>
      <c r="C13" s="4" t="s">
        <v>183</v>
      </c>
      <c r="D13" s="4" t="s">
        <v>185</v>
      </c>
      <c r="E13" s="4" t="s">
        <v>186</v>
      </c>
    </row>
    <row r="14" spans="1:5" x14ac:dyDescent="0.3">
      <c r="A14" s="4" t="s">
        <v>111</v>
      </c>
      <c r="B14" s="4" t="s">
        <v>187</v>
      </c>
      <c r="C14" s="4" t="s">
        <v>183</v>
      </c>
      <c r="D14" s="4" t="s">
        <v>185</v>
      </c>
      <c r="E14" s="4" t="s">
        <v>188</v>
      </c>
    </row>
    <row r="15" spans="1:5" x14ac:dyDescent="0.3">
      <c r="A15" s="4" t="s">
        <v>111</v>
      </c>
      <c r="B15" s="4" t="s">
        <v>189</v>
      </c>
      <c r="C15" s="4" t="s">
        <v>183</v>
      </c>
      <c r="D15" s="4" t="s">
        <v>185</v>
      </c>
      <c r="E15" s="4" t="s">
        <v>190</v>
      </c>
    </row>
    <row r="16" spans="1:5" ht="28.8" x14ac:dyDescent="0.3">
      <c r="A16" s="4" t="s">
        <v>191</v>
      </c>
      <c r="B16" s="4" t="s">
        <v>192</v>
      </c>
      <c r="C16" s="4" t="s">
        <v>185</v>
      </c>
      <c r="D16" s="4" t="s">
        <v>185</v>
      </c>
      <c r="E16" s="4" t="s">
        <v>193</v>
      </c>
    </row>
    <row r="17" spans="1:5" x14ac:dyDescent="0.3">
      <c r="A17" s="4" t="s">
        <v>191</v>
      </c>
      <c r="B17" s="4" t="s">
        <v>194</v>
      </c>
      <c r="C17" s="4" t="s">
        <v>195</v>
      </c>
      <c r="D17" s="4" t="s">
        <v>185</v>
      </c>
      <c r="E17" s="4" t="s">
        <v>196</v>
      </c>
    </row>
  </sheetData>
  <mergeCells count="1">
    <mergeCell ref="A1:E1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showGridLines="0" workbookViewId="0">
      <pane ySplit="3" topLeftCell="A4" activePane="bottomLeft" state="frozen"/>
      <selection pane="bottomLeft" activeCell="B5" sqref="B5"/>
    </sheetView>
  </sheetViews>
  <sheetFormatPr defaultRowHeight="14.4" x14ac:dyDescent="0.3"/>
  <cols>
    <col min="1" max="1" width="24" customWidth="1"/>
    <col min="2" max="2" width="18" customWidth="1"/>
    <col min="3" max="3" width="22" customWidth="1"/>
    <col min="4" max="4" width="40" customWidth="1"/>
    <col min="5" max="5" width="12" customWidth="1"/>
    <col min="6" max="6" width="14" customWidth="1"/>
    <col min="7" max="7" width="20" customWidth="1"/>
    <col min="8" max="8" width="42" customWidth="1"/>
    <col min="9" max="9" width="18" customWidth="1"/>
    <col min="10" max="10" width="35" customWidth="1"/>
  </cols>
  <sheetData>
    <row r="1" spans="1:10" ht="31.95" customHeight="1" x14ac:dyDescent="0.45">
      <c r="A1" s="15" t="s">
        <v>54</v>
      </c>
      <c r="B1" s="13"/>
      <c r="C1" s="13"/>
      <c r="D1" s="13"/>
      <c r="E1" s="13"/>
      <c r="F1" s="13"/>
      <c r="G1" s="13"/>
      <c r="H1" s="13"/>
      <c r="I1" s="13"/>
      <c r="J1" s="13"/>
    </row>
    <row r="3" spans="1:10" ht="74.400000000000006" customHeight="1" x14ac:dyDescent="0.3">
      <c r="A3" s="1" t="s">
        <v>55</v>
      </c>
      <c r="B3" s="2" t="s">
        <v>56</v>
      </c>
    </row>
    <row r="4" spans="1:10" ht="28.8" x14ac:dyDescent="0.3">
      <c r="A4" s="1" t="s">
        <v>57</v>
      </c>
      <c r="B4" s="2" t="s">
        <v>58</v>
      </c>
    </row>
    <row r="5" spans="1:10" ht="144" x14ac:dyDescent="0.3">
      <c r="A5" s="1" t="s">
        <v>59</v>
      </c>
      <c r="B5" s="2" t="s">
        <v>60</v>
      </c>
    </row>
    <row r="8" spans="1:10" x14ac:dyDescent="0.3">
      <c r="A8" s="3" t="s">
        <v>61</v>
      </c>
      <c r="B8" s="3" t="s">
        <v>62</v>
      </c>
      <c r="C8" s="3" t="s">
        <v>63</v>
      </c>
      <c r="D8" s="3" t="s">
        <v>64</v>
      </c>
      <c r="E8" s="3" t="s">
        <v>65</v>
      </c>
      <c r="F8" s="3" t="s">
        <v>66</v>
      </c>
      <c r="G8" s="3" t="s">
        <v>67</v>
      </c>
      <c r="H8" s="3" t="s">
        <v>68</v>
      </c>
      <c r="I8" s="3" t="s">
        <v>69</v>
      </c>
      <c r="J8" s="3" t="s">
        <v>70</v>
      </c>
    </row>
    <row r="9" spans="1:10" ht="28.8" x14ac:dyDescent="0.3">
      <c r="A9" s="4" t="s">
        <v>71</v>
      </c>
      <c r="B9" s="4" t="s">
        <v>72</v>
      </c>
      <c r="C9" s="4" t="s">
        <v>73</v>
      </c>
      <c r="D9" s="4" t="s">
        <v>74</v>
      </c>
      <c r="E9" s="9">
        <v>20</v>
      </c>
      <c r="F9" s="5">
        <f t="shared" ref="F9:F18" si="0">E9*94.3</f>
        <v>1886</v>
      </c>
      <c r="G9" s="4" t="s">
        <v>75</v>
      </c>
      <c r="H9" s="4" t="s">
        <v>76</v>
      </c>
      <c r="I9" s="4" t="s">
        <v>77</v>
      </c>
      <c r="J9" s="4" t="s">
        <v>78</v>
      </c>
    </row>
    <row r="10" spans="1:10" ht="28.8" x14ac:dyDescent="0.3">
      <c r="A10" s="4" t="s">
        <v>79</v>
      </c>
      <c r="B10" s="4" t="s">
        <v>80</v>
      </c>
      <c r="C10" s="4" t="s">
        <v>81</v>
      </c>
      <c r="D10" s="4" t="s">
        <v>82</v>
      </c>
      <c r="E10" s="9">
        <v>15</v>
      </c>
      <c r="F10" s="5">
        <f t="shared" si="0"/>
        <v>1414.5</v>
      </c>
      <c r="G10" s="4" t="s">
        <v>83</v>
      </c>
      <c r="H10" s="4" t="s">
        <v>84</v>
      </c>
      <c r="I10" s="4" t="s">
        <v>77</v>
      </c>
      <c r="J10" s="4" t="s">
        <v>85</v>
      </c>
    </row>
    <row r="11" spans="1:10" ht="28.8" x14ac:dyDescent="0.3">
      <c r="A11" s="4" t="s">
        <v>86</v>
      </c>
      <c r="B11" s="4" t="s">
        <v>80</v>
      </c>
      <c r="C11" s="4" t="s">
        <v>87</v>
      </c>
      <c r="D11" s="4" t="s">
        <v>88</v>
      </c>
      <c r="E11" s="9">
        <v>15</v>
      </c>
      <c r="F11" s="5">
        <f t="shared" si="0"/>
        <v>1414.5</v>
      </c>
      <c r="G11" s="4" t="s">
        <v>83</v>
      </c>
      <c r="H11" s="4" t="s">
        <v>89</v>
      </c>
      <c r="I11" s="4" t="s">
        <v>77</v>
      </c>
      <c r="J11" s="4" t="s">
        <v>85</v>
      </c>
    </row>
    <row r="12" spans="1:10" ht="28.8" x14ac:dyDescent="0.3">
      <c r="A12" s="4" t="s">
        <v>90</v>
      </c>
      <c r="B12" s="4" t="s">
        <v>91</v>
      </c>
      <c r="C12" s="4" t="s">
        <v>19</v>
      </c>
      <c r="D12" s="4" t="s">
        <v>92</v>
      </c>
      <c r="E12" s="9">
        <v>0</v>
      </c>
      <c r="F12" s="5">
        <f t="shared" si="0"/>
        <v>0</v>
      </c>
      <c r="G12" s="4" t="s">
        <v>93</v>
      </c>
      <c r="H12" s="4" t="s">
        <v>94</v>
      </c>
      <c r="I12" s="4" t="s">
        <v>77</v>
      </c>
      <c r="J12" s="4" t="s">
        <v>91</v>
      </c>
    </row>
    <row r="13" spans="1:10" ht="28.8" x14ac:dyDescent="0.3">
      <c r="A13" s="4" t="s">
        <v>95</v>
      </c>
      <c r="B13" s="4" t="s">
        <v>96</v>
      </c>
      <c r="C13" s="4" t="s">
        <v>97</v>
      </c>
      <c r="D13" s="4" t="s">
        <v>98</v>
      </c>
      <c r="E13" s="9">
        <v>0</v>
      </c>
      <c r="F13" s="5">
        <f t="shared" si="0"/>
        <v>0</v>
      </c>
      <c r="G13" s="4" t="s">
        <v>99</v>
      </c>
      <c r="H13" s="4" t="s">
        <v>100</v>
      </c>
      <c r="I13" s="4" t="s">
        <v>77</v>
      </c>
      <c r="J13" s="4" t="s">
        <v>101</v>
      </c>
    </row>
    <row r="14" spans="1:10" x14ac:dyDescent="0.3">
      <c r="A14" s="4" t="s">
        <v>102</v>
      </c>
      <c r="B14" s="4" t="s">
        <v>103</v>
      </c>
      <c r="C14" s="4" t="s">
        <v>93</v>
      </c>
      <c r="D14" s="4" t="s">
        <v>104</v>
      </c>
      <c r="E14" s="9">
        <v>0</v>
      </c>
      <c r="F14" s="5">
        <f t="shared" si="0"/>
        <v>0</v>
      </c>
      <c r="G14" s="4" t="s">
        <v>99</v>
      </c>
      <c r="H14" s="4" t="s">
        <v>105</v>
      </c>
      <c r="I14" s="4" t="s">
        <v>77</v>
      </c>
      <c r="J14" s="4" t="s">
        <v>106</v>
      </c>
    </row>
    <row r="15" spans="1:10" ht="28.8" x14ac:dyDescent="0.3">
      <c r="A15" s="4" t="s">
        <v>107</v>
      </c>
      <c r="B15" s="4" t="s">
        <v>108</v>
      </c>
      <c r="C15" s="4" t="s">
        <v>109</v>
      </c>
      <c r="D15" s="4" t="s">
        <v>110</v>
      </c>
      <c r="E15" s="9">
        <v>0</v>
      </c>
      <c r="F15" s="5">
        <f t="shared" si="0"/>
        <v>0</v>
      </c>
      <c r="G15" s="4" t="s">
        <v>111</v>
      </c>
      <c r="H15" s="4" t="s">
        <v>112</v>
      </c>
      <c r="I15" s="4" t="s">
        <v>113</v>
      </c>
      <c r="J15" s="4" t="s">
        <v>114</v>
      </c>
    </row>
    <row r="16" spans="1:10" ht="28.8" x14ac:dyDescent="0.3">
      <c r="A16" s="4" t="s">
        <v>115</v>
      </c>
      <c r="B16" s="4" t="s">
        <v>116</v>
      </c>
      <c r="C16" s="4" t="s">
        <v>117</v>
      </c>
      <c r="D16" s="4" t="s">
        <v>118</v>
      </c>
      <c r="E16" s="9">
        <v>0</v>
      </c>
      <c r="F16" s="5">
        <f t="shared" si="0"/>
        <v>0</v>
      </c>
      <c r="G16" s="4" t="s">
        <v>119</v>
      </c>
      <c r="H16" s="4" t="s">
        <v>120</v>
      </c>
      <c r="I16" s="4" t="s">
        <v>121</v>
      </c>
      <c r="J16" s="4" t="s">
        <v>122</v>
      </c>
    </row>
    <row r="17" spans="1:10" ht="28.8" x14ac:dyDescent="0.3">
      <c r="A17" s="4" t="s">
        <v>123</v>
      </c>
      <c r="B17" s="4" t="s">
        <v>124</v>
      </c>
      <c r="C17" s="4" t="s">
        <v>109</v>
      </c>
      <c r="D17" s="4" t="s">
        <v>125</v>
      </c>
      <c r="E17" s="9">
        <v>0</v>
      </c>
      <c r="F17" s="5">
        <f t="shared" si="0"/>
        <v>0</v>
      </c>
      <c r="G17" s="4" t="s">
        <v>111</v>
      </c>
      <c r="H17" s="4" t="s">
        <v>126</v>
      </c>
      <c r="I17" s="4" t="s">
        <v>127</v>
      </c>
      <c r="J17" s="4" t="s">
        <v>128</v>
      </c>
    </row>
    <row r="18" spans="1:10" ht="28.8" x14ac:dyDescent="0.3">
      <c r="A18" s="4" t="s">
        <v>129</v>
      </c>
      <c r="B18" s="4" t="s">
        <v>124</v>
      </c>
      <c r="C18" s="4" t="s">
        <v>109</v>
      </c>
      <c r="D18" s="4" t="s">
        <v>130</v>
      </c>
      <c r="E18" s="9">
        <v>0</v>
      </c>
      <c r="F18" s="5">
        <f t="shared" si="0"/>
        <v>0</v>
      </c>
      <c r="G18" s="4" t="s">
        <v>111</v>
      </c>
      <c r="H18" s="4" t="s">
        <v>131</v>
      </c>
      <c r="I18" s="4" t="s">
        <v>132</v>
      </c>
      <c r="J18" s="4" t="s">
        <v>128</v>
      </c>
    </row>
    <row r="19" spans="1:10" x14ac:dyDescent="0.3">
      <c r="D19" s="6" t="s">
        <v>133</v>
      </c>
      <c r="E19" s="10">
        <f>SUM(E9:E18)</f>
        <v>50</v>
      </c>
      <c r="F19" s="7">
        <f>SUM(F9:F18)</f>
        <v>4715</v>
      </c>
    </row>
    <row r="22" spans="1:10" ht="18" x14ac:dyDescent="0.35">
      <c r="A22" s="14" t="s">
        <v>134</v>
      </c>
      <c r="B22" s="13"/>
      <c r="C22" s="13"/>
      <c r="D22" s="13"/>
      <c r="E22" s="13"/>
      <c r="F22" s="13"/>
    </row>
    <row r="23" spans="1:10" x14ac:dyDescent="0.3">
      <c r="A23" s="11" t="s">
        <v>135</v>
      </c>
      <c r="B23" s="11" t="s">
        <v>72</v>
      </c>
      <c r="C23" s="11" t="s">
        <v>136</v>
      </c>
      <c r="D23" s="11" t="s">
        <v>137</v>
      </c>
      <c r="E23" s="11" t="s">
        <v>138</v>
      </c>
      <c r="F23" s="11" t="s">
        <v>139</v>
      </c>
    </row>
    <row r="24" spans="1:10" ht="57.6" x14ac:dyDescent="0.3">
      <c r="A24" s="4" t="s">
        <v>140</v>
      </c>
      <c r="B24" s="4" t="s">
        <v>141</v>
      </c>
      <c r="C24" s="4" t="s">
        <v>142</v>
      </c>
      <c r="D24" s="4" t="s">
        <v>142</v>
      </c>
      <c r="E24" s="4" t="s">
        <v>143</v>
      </c>
      <c r="F24" s="4" t="s">
        <v>144</v>
      </c>
    </row>
    <row r="25" spans="1:10" ht="72" x14ac:dyDescent="0.3">
      <c r="A25" s="4" t="s">
        <v>145</v>
      </c>
      <c r="B25" s="4" t="s">
        <v>141</v>
      </c>
      <c r="C25" s="4" t="s">
        <v>146</v>
      </c>
      <c r="D25" s="4" t="s">
        <v>147</v>
      </c>
      <c r="E25" s="4" t="s">
        <v>148</v>
      </c>
      <c r="F25" s="4" t="s">
        <v>149</v>
      </c>
    </row>
    <row r="26" spans="1:10" ht="28.8" x14ac:dyDescent="0.3">
      <c r="A26" s="4" t="s">
        <v>150</v>
      </c>
      <c r="B26" s="4" t="s">
        <v>151</v>
      </c>
      <c r="C26" s="4" t="s">
        <v>152</v>
      </c>
      <c r="D26" s="4" t="s">
        <v>153</v>
      </c>
      <c r="E26" s="4" t="s">
        <v>151</v>
      </c>
      <c r="F26" s="4" t="s">
        <v>154</v>
      </c>
    </row>
  </sheetData>
  <mergeCells count="2">
    <mergeCell ref="A1:J1"/>
    <mergeCell ref="A22:F22"/>
  </mergeCells>
  <pageMargins left="0.75" right="0.75" top="1" bottom="1" header="0.5" footer="0.5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showGridLines="0" workbookViewId="0">
      <pane ySplit="3" topLeftCell="A4" activePane="bottomLeft" state="frozen"/>
      <selection pane="bottomLeft" activeCell="B17" sqref="B17"/>
    </sheetView>
  </sheetViews>
  <sheetFormatPr defaultRowHeight="14.4" x14ac:dyDescent="0.3"/>
  <cols>
    <col min="1" max="1" width="20" customWidth="1"/>
    <col min="2" max="2" width="45" customWidth="1"/>
    <col min="3" max="3" width="55" customWidth="1"/>
    <col min="4" max="4" width="65" customWidth="1"/>
  </cols>
  <sheetData>
    <row r="1" spans="1:4" ht="23.4" x14ac:dyDescent="0.45">
      <c r="A1" s="15" t="s">
        <v>197</v>
      </c>
      <c r="B1" s="13"/>
      <c r="C1" s="13"/>
      <c r="D1" s="13"/>
    </row>
    <row r="3" spans="1:4" x14ac:dyDescent="0.3">
      <c r="A3" s="11" t="s">
        <v>62</v>
      </c>
      <c r="B3" s="11" t="s">
        <v>198</v>
      </c>
      <c r="C3" s="11" t="s">
        <v>199</v>
      </c>
      <c r="D3" s="11" t="s">
        <v>200</v>
      </c>
    </row>
    <row r="4" spans="1:4" ht="28.8" x14ac:dyDescent="0.3">
      <c r="A4" s="4" t="s">
        <v>72</v>
      </c>
      <c r="B4" s="4" t="s">
        <v>201</v>
      </c>
      <c r="C4" s="4" t="s">
        <v>202</v>
      </c>
      <c r="D4" s="4" t="s">
        <v>203</v>
      </c>
    </row>
    <row r="5" spans="1:4" ht="43.2" x14ac:dyDescent="0.3">
      <c r="A5" s="4" t="s">
        <v>80</v>
      </c>
      <c r="B5" s="4" t="s">
        <v>204</v>
      </c>
      <c r="C5" s="4" t="s">
        <v>205</v>
      </c>
      <c r="D5" s="4" t="s">
        <v>206</v>
      </c>
    </row>
    <row r="6" spans="1:4" ht="28.8" x14ac:dyDescent="0.3">
      <c r="A6" s="4" t="s">
        <v>96</v>
      </c>
      <c r="B6" s="4" t="s">
        <v>207</v>
      </c>
      <c r="C6" s="4" t="s">
        <v>208</v>
      </c>
      <c r="D6" s="4" t="s">
        <v>209</v>
      </c>
    </row>
    <row r="7" spans="1:4" x14ac:dyDescent="0.3">
      <c r="A7" s="4" t="s">
        <v>103</v>
      </c>
      <c r="B7" s="4" t="s">
        <v>210</v>
      </c>
      <c r="C7" s="4" t="s">
        <v>211</v>
      </c>
      <c r="D7" s="4" t="s">
        <v>212</v>
      </c>
    </row>
    <row r="8" spans="1:4" x14ac:dyDescent="0.3">
      <c r="A8" s="4" t="s">
        <v>213</v>
      </c>
      <c r="B8" s="4" t="s">
        <v>214</v>
      </c>
      <c r="C8" s="4" t="s">
        <v>215</v>
      </c>
      <c r="D8" s="4" t="s">
        <v>216</v>
      </c>
    </row>
    <row r="9" spans="1:4" x14ac:dyDescent="0.3">
      <c r="A9" s="4" t="s">
        <v>217</v>
      </c>
      <c r="B9" s="4" t="s">
        <v>218</v>
      </c>
      <c r="C9" s="4" t="s">
        <v>219</v>
      </c>
      <c r="D9" s="4" t="s">
        <v>220</v>
      </c>
    </row>
  </sheetData>
  <mergeCells count="1">
    <mergeCell ref="A1:D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 Quotation</vt:lpstr>
      <vt:lpstr>Scope &amp; Exclusions</vt:lpstr>
      <vt:lpstr>Third Party Costs</vt:lpstr>
      <vt:lpstr>Pricing 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Rohan Kadam</cp:lastModifiedBy>
  <dcterms:created xsi:type="dcterms:W3CDTF">2026-09-03T05:59:24Z</dcterms:created>
  <dcterms:modified xsi:type="dcterms:W3CDTF">2026-09-03T06:35:38Z</dcterms:modified>
</cp:coreProperties>
</file>